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ationLog" sheetId="1" state="visible" r:id="rId1"/>
    <sheet name="SummaryFormulas" sheetId="2" state="visible" r:id="rId2"/>
    <sheet name="How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4ED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participant</t>
        </is>
      </c>
      <c r="B1" s="1" t="inlineStr">
        <is>
          <t>trial</t>
        </is>
      </c>
      <c r="C1" s="1" t="inlineStr">
        <is>
          <t>fixation_id</t>
        </is>
      </c>
      <c r="D1" s="1" t="inlineStr">
        <is>
          <t>start_s</t>
        </is>
      </c>
      <c r="E1" s="1" t="inlineStr">
        <is>
          <t>end_s</t>
        </is>
      </c>
      <c r="F1" s="1" t="inlineStr">
        <is>
          <t>duration_s</t>
        </is>
      </c>
      <c r="G1" s="1" t="inlineStr">
        <is>
          <t>aoi</t>
        </is>
      </c>
    </row>
    <row r="2">
      <c r="A2" t="inlineStr">
        <is>
          <t>p01</t>
        </is>
      </c>
      <c r="B2" t="n">
        <v>1</v>
      </c>
      <c r="C2" t="n">
        <v>1</v>
      </c>
      <c r="D2" t="n">
        <v>0</v>
      </c>
      <c r="E2" t="n">
        <v>0.32</v>
      </c>
      <c r="F2">
        <f>E2-D2</f>
        <v/>
      </c>
      <c r="G2" t="inlineStr">
        <is>
          <t>logo</t>
        </is>
      </c>
    </row>
    <row r="3">
      <c r="A3" t="inlineStr">
        <is>
          <t>p01</t>
        </is>
      </c>
      <c r="B3" t="n">
        <v>1</v>
      </c>
      <c r="C3" t="n">
        <v>2</v>
      </c>
      <c r="D3" t="n">
        <v>0.45</v>
      </c>
      <c r="E3" t="n">
        <v>0.7</v>
      </c>
      <c r="F3">
        <f>E3-D3</f>
        <v/>
      </c>
      <c r="G3" t="inlineStr">
        <is>
          <t>price</t>
        </is>
      </c>
    </row>
    <row r="4">
      <c r="A4" t="inlineStr">
        <is>
          <t>p01</t>
        </is>
      </c>
      <c r="B4" t="n">
        <v>1</v>
      </c>
      <c r="C4" t="n">
        <v>3</v>
      </c>
      <c r="D4" t="n">
        <v>0.9</v>
      </c>
      <c r="E4" t="n">
        <v>1.4</v>
      </c>
      <c r="F4">
        <f>E4-D4</f>
        <v/>
      </c>
      <c r="G4" t="inlineStr">
        <is>
          <t>buy_button</t>
        </is>
      </c>
    </row>
    <row r="5">
      <c r="A5" t="inlineStr">
        <is>
          <t>p02</t>
        </is>
      </c>
      <c r="B5" t="n">
        <v>1</v>
      </c>
      <c r="C5" t="n">
        <v>1</v>
      </c>
      <c r="D5" t="n">
        <v>0</v>
      </c>
      <c r="E5" t="n">
        <v>0.5</v>
      </c>
      <c r="F5">
        <f>E5-D5</f>
        <v/>
      </c>
      <c r="G5" t="inlineStr">
        <is>
          <t>logo</t>
        </is>
      </c>
    </row>
    <row r="6">
      <c r="A6" t="inlineStr">
        <is>
          <t>p02</t>
        </is>
      </c>
      <c r="B6" t="n">
        <v>1</v>
      </c>
      <c r="C6" t="n">
        <v>2</v>
      </c>
      <c r="D6" t="n">
        <v>0.6</v>
      </c>
      <c r="E6" t="n">
        <v>0.85</v>
      </c>
      <c r="F6">
        <f>E6-D6</f>
        <v/>
      </c>
      <c r="G6" t="inlineStr">
        <is>
          <t>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8" customWidth="1" min="3" max="3"/>
  </cols>
  <sheetData>
    <row r="1">
      <c r="A1" s="1" t="inlineStr">
        <is>
          <t>Metric</t>
        </is>
      </c>
      <c r="B1" s="1" t="inlineStr">
        <is>
          <t>Excel formula (edit ranges as needed)</t>
        </is>
      </c>
      <c r="C1" s="1" t="inlineStr">
        <is>
          <t>Result (demo)</t>
        </is>
      </c>
    </row>
    <row r="2">
      <c r="A2" t="inlineStr">
        <is>
          <t>Total dwell (s)</t>
        </is>
      </c>
      <c r="B2">
        <f>SUM(FixationLog!F:F)</f>
        <v/>
      </c>
      <c r="C2">
        <f>SUM(FixationLog!F2:F6)</f>
        <v/>
      </c>
    </row>
    <row r="3">
      <c r="A3" t="inlineStr">
        <is>
          <t>N fixations</t>
        </is>
      </c>
      <c r="B3">
        <f>COUNTA(FixationLog!C2:C100)</f>
        <v/>
      </c>
      <c r="C3">
        <f>COUNTA(FixationLog!C2:C6)</f>
        <v/>
      </c>
    </row>
    <row r="4">
      <c r="A4" t="inlineStr">
        <is>
          <t>Mean fixation (s)</t>
        </is>
      </c>
      <c r="B4">
        <f>AVERAGE(FixationLog!F2:F100)</f>
        <v/>
      </c>
      <c r="C4">
        <f>AVERAGE(FixationLog!F2:F6)</f>
        <v/>
      </c>
    </row>
    <row r="5">
      <c r="A5" t="inlineStr">
        <is>
          <t>Dwell on logo</t>
        </is>
      </c>
      <c r="B5">
        <f>SUMIF(FixationLog!G:G,"logo",FixationLog!F:F)</f>
        <v/>
      </c>
      <c r="C5">
        <f>SUMIF(FixationLog!G2:G6,"logo",FixationLog!F2:F6)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How to use this workbook</t>
        </is>
      </c>
    </row>
    <row r="3">
      <c r="A3" s="3" t="inlineStr">
        <is>
          <t>1. Paste fixation exports into FixationLog (or import CSV).</t>
        </is>
      </c>
    </row>
    <row r="4">
      <c r="A4" s="3" t="inlineStr">
        <is>
          <t>2. Keep duration_s as a formula (end - start) when possible.</t>
        </is>
      </c>
    </row>
    <row r="5">
      <c r="A5" s="3" t="inlineStr">
        <is>
          <t>3. Use SummaryFormulas as a template for your own lab sheet.</t>
        </is>
      </c>
    </row>
    <row r="6">
      <c r="A6" s="3" t="inlineStr">
        <is>
          <t>4. Pair with Python notebooks for larger N and plots.</t>
        </is>
      </c>
    </row>
    <row r="7">
      <c r="A7" s="3" t="inlineStr">
        <is>
          <t>5. Always keep a raw copy of exports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2026-09-15T06:18:18Z</dcterms:created>
  <dcterms:modified xsi:type="dcterms:W3CDTF">2026-09-15T06:18:18Z</dcterms:modified>
</cp:coreProperties>
</file>